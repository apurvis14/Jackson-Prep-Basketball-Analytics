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ndre\OneDrive - Mississippi State University\Documents\Jackson Prep Basketball Analytics\"/>
    </mc:Choice>
  </mc:AlternateContent>
  <xr:revisionPtr revIDLastSave="0" documentId="13_ncr:1_{0F1A74CD-47FB-43B7-9F49-4347170C81D4}" xr6:coauthVersionLast="47" xr6:coauthVersionMax="47" xr10:uidLastSave="{00000000-0000-0000-0000-000000000000}"/>
  <bookViews>
    <workbookView xWindow="-108" yWindow="-108" windowWidth="23256" windowHeight="13896" activeTab="1" xr2:uid="{6827C0C7-DE5F-4FEA-9FFB-59F6EFA4BF4E}"/>
  </bookViews>
  <sheets>
    <sheet name="Sheet1" sheetId="1" r:id="rId1"/>
    <sheet name="Sheet2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W3" i="2" l="1"/>
  <c r="W4" i="2"/>
  <c r="W5" i="2"/>
  <c r="W6" i="2"/>
  <c r="W7" i="2"/>
  <c r="W8" i="2"/>
  <c r="W9" i="2"/>
  <c r="W10" i="2"/>
  <c r="W11" i="2"/>
  <c r="W2" i="2"/>
  <c r="K3" i="2"/>
  <c r="K4" i="2"/>
  <c r="K5" i="2"/>
  <c r="K6" i="2"/>
  <c r="K7" i="2"/>
  <c r="K8" i="2"/>
  <c r="K9" i="2"/>
  <c r="K10" i="2"/>
  <c r="K11" i="2"/>
  <c r="K2" i="2"/>
</calcChain>
</file>

<file path=xl/sharedStrings.xml><?xml version="1.0" encoding="utf-8"?>
<sst xmlns="http://schemas.openxmlformats.org/spreadsheetml/2006/main" count="46" uniqueCount="39">
  <si>
    <t>Week</t>
  </si>
  <si>
    <t>Game FG%</t>
  </si>
  <si>
    <t>Practice FG%</t>
  </si>
  <si>
    <t>Layups</t>
  </si>
  <si>
    <t>Midrange</t>
  </si>
  <si>
    <t>3PT</t>
  </si>
  <si>
    <t>AST/TO Game</t>
  </si>
  <si>
    <t>AST/TO Practice</t>
  </si>
  <si>
    <t>AST/TO</t>
  </si>
  <si>
    <t>Greenville</t>
  </si>
  <si>
    <t>Christian Col</t>
  </si>
  <si>
    <t>Florence</t>
  </si>
  <si>
    <t>Tri County</t>
  </si>
  <si>
    <t>Cathedral</t>
  </si>
  <si>
    <t>Choctaw Central</t>
  </si>
  <si>
    <t>Oak Forest</t>
  </si>
  <si>
    <t>Baldwin</t>
  </si>
  <si>
    <t>Mars Hill</t>
  </si>
  <si>
    <t>Germantown</t>
  </si>
  <si>
    <t>Oxford</t>
  </si>
  <si>
    <t>Desoto Central</t>
  </si>
  <si>
    <t>Pearl</t>
  </si>
  <si>
    <t>Hartfield</t>
  </si>
  <si>
    <t>JA</t>
  </si>
  <si>
    <t>Leake</t>
  </si>
  <si>
    <t>Simpson</t>
  </si>
  <si>
    <t>MRA</t>
  </si>
  <si>
    <t>Madison Academy</t>
  </si>
  <si>
    <t>AVG</t>
  </si>
  <si>
    <t>ASTs</t>
  </si>
  <si>
    <t>OFF REB</t>
  </si>
  <si>
    <t>DEF REB</t>
  </si>
  <si>
    <t>TOs</t>
  </si>
  <si>
    <t>FG%</t>
  </si>
  <si>
    <t>3PT%</t>
  </si>
  <si>
    <t>Hustle Score</t>
  </si>
  <si>
    <t>DEFs</t>
  </si>
  <si>
    <t>Help Ups</t>
  </si>
  <si>
    <t>3PM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</si>
</sst>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1" tint="0.499984740745262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6">
    <xf numFmtId="0" fontId="0" fillId="0" borderId="0" xfId="0"/>
    <xf numFmtId="9" fontId="0" fillId="0" borderId="0" xfId="1" applyFont="1"/>
    <xf numFmtId="10" fontId="0" fillId="0" borderId="0" xfId="1" applyNumberFormat="1" applyFont="1"/>
    <xf numFmtId="2" fontId="0" fillId="0" borderId="0" xfId="1" applyNumberFormat="1" applyFont="1"/>
    <xf numFmtId="0" fontId="0" fillId="2" borderId="0" xfId="0" applyFill="1"/>
    <xf numFmtId="2" fontId="0" fillId="0" borderId="0" xfId="0" applyNumberFormat="1"/>
  </cellXfs>
  <cellStyles count="2">
    <cellStyle name="Normal" xfId="0" builtinId="0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3PT % by</a:t>
            </a:r>
            <a:r>
              <a:rPr lang="en-US" baseline="0"/>
              <a:t> Week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v>Game 3PT%</c:v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Sheet1!$K$3:$K$9</c:f>
              <c:numCache>
                <c:formatCode>General</c:formatCode>
                <c:ptCount val="7"/>
                <c:pt idx="0">
                  <c:v>10</c:v>
                </c:pt>
                <c:pt idx="1">
                  <c:v>11</c:v>
                </c:pt>
                <c:pt idx="2">
                  <c:v>12</c:v>
                </c:pt>
                <c:pt idx="3">
                  <c:v>13</c:v>
                </c:pt>
                <c:pt idx="4">
                  <c:v>14</c:v>
                </c:pt>
                <c:pt idx="5">
                  <c:v>15</c:v>
                </c:pt>
                <c:pt idx="6">
                  <c:v>16</c:v>
                </c:pt>
              </c:numCache>
            </c:numRef>
          </c:cat>
          <c:val>
            <c:numRef>
              <c:f>Sheet1!$L$3:$L$9</c:f>
              <c:numCache>
                <c:formatCode>0.00%</c:formatCode>
                <c:ptCount val="7"/>
                <c:pt idx="0">
                  <c:v>0.35499999999999998</c:v>
                </c:pt>
                <c:pt idx="1">
                  <c:v>0.246</c:v>
                </c:pt>
                <c:pt idx="2">
                  <c:v>0.22700000000000001</c:v>
                </c:pt>
                <c:pt idx="3">
                  <c:v>0.30199999999999999</c:v>
                </c:pt>
                <c:pt idx="4">
                  <c:v>0.215</c:v>
                </c:pt>
                <c:pt idx="5">
                  <c:v>0.28599999999999998</c:v>
                </c:pt>
                <c:pt idx="6">
                  <c:v>0.35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2321-401E-9000-D496A87CCB3C}"/>
            </c:ext>
          </c:extLst>
        </c:ser>
        <c:ser>
          <c:idx val="1"/>
          <c:order val="1"/>
          <c:tx>
            <c:v>Practice 3PT%</c:v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Sheet1!$K$3:$K$9</c:f>
              <c:numCache>
                <c:formatCode>General</c:formatCode>
                <c:ptCount val="7"/>
                <c:pt idx="0">
                  <c:v>10</c:v>
                </c:pt>
                <c:pt idx="1">
                  <c:v>11</c:v>
                </c:pt>
                <c:pt idx="2">
                  <c:v>12</c:v>
                </c:pt>
                <c:pt idx="3">
                  <c:v>13</c:v>
                </c:pt>
                <c:pt idx="4">
                  <c:v>14</c:v>
                </c:pt>
                <c:pt idx="5">
                  <c:v>15</c:v>
                </c:pt>
                <c:pt idx="6">
                  <c:v>16</c:v>
                </c:pt>
              </c:numCache>
            </c:numRef>
          </c:cat>
          <c:val>
            <c:numRef>
              <c:f>Sheet1!$M$3:$M$9</c:f>
              <c:numCache>
                <c:formatCode>0.00%</c:formatCode>
                <c:ptCount val="7"/>
                <c:pt idx="0">
                  <c:v>0.27100000000000002</c:v>
                </c:pt>
                <c:pt idx="1">
                  <c:v>0.314</c:v>
                </c:pt>
                <c:pt idx="2">
                  <c:v>0.33300000000000002</c:v>
                </c:pt>
                <c:pt idx="3">
                  <c:v>0.44</c:v>
                </c:pt>
                <c:pt idx="4">
                  <c:v>0.26200000000000001</c:v>
                </c:pt>
                <c:pt idx="5">
                  <c:v>0.20699999999999999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2321-401E-9000-D496A87CCB3C}"/>
            </c:ext>
          </c:extLst>
        </c:ser>
        <c:dLbls>
          <c:dLblPos val="t"/>
          <c:showLegendKey val="0"/>
          <c:showVal val="1"/>
          <c:showCatName val="0"/>
          <c:showSerName val="0"/>
          <c:showPercent val="0"/>
          <c:showBubbleSize val="0"/>
        </c:dLbls>
        <c:marker val="1"/>
        <c:smooth val="0"/>
        <c:axId val="1930072783"/>
        <c:axId val="1677679951"/>
      </c:lineChart>
      <c:catAx>
        <c:axId val="1930072783"/>
        <c:scaling>
          <c:orientation val="minMax"/>
        </c:scaling>
        <c:delete val="0"/>
        <c:axPos val="b"/>
        <c:title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77679951"/>
        <c:crosses val="autoZero"/>
        <c:auto val="1"/>
        <c:lblAlgn val="ctr"/>
        <c:lblOffset val="100"/>
        <c:noMultiLvlLbl val="0"/>
      </c:catAx>
      <c:valAx>
        <c:axId val="1677679951"/>
        <c:scaling>
          <c:orientation val="minMax"/>
          <c:max val="0.45"/>
          <c:min val="0.15000000000000002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30072783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Midrange % by</a:t>
            </a:r>
            <a:r>
              <a:rPr lang="en-US" baseline="0"/>
              <a:t> Week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v>Game Midrange %</c:v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Sheet1!$K$3:$K$9</c:f>
              <c:numCache>
                <c:formatCode>General</c:formatCode>
                <c:ptCount val="7"/>
                <c:pt idx="0">
                  <c:v>10</c:v>
                </c:pt>
                <c:pt idx="1">
                  <c:v>11</c:v>
                </c:pt>
                <c:pt idx="2">
                  <c:v>12</c:v>
                </c:pt>
                <c:pt idx="3">
                  <c:v>13</c:v>
                </c:pt>
                <c:pt idx="4">
                  <c:v>14</c:v>
                </c:pt>
                <c:pt idx="5">
                  <c:v>15</c:v>
                </c:pt>
                <c:pt idx="6">
                  <c:v>16</c:v>
                </c:pt>
              </c:numCache>
            </c:numRef>
          </c:cat>
          <c:val>
            <c:numRef>
              <c:f>Sheet1!$G$3:$G$9</c:f>
              <c:numCache>
                <c:formatCode>General</c:formatCode>
                <c:ptCount val="7"/>
                <c:pt idx="0">
                  <c:v>0</c:v>
                </c:pt>
                <c:pt idx="1">
                  <c:v>45.5</c:v>
                </c:pt>
                <c:pt idx="2">
                  <c:v>28.6</c:v>
                </c:pt>
                <c:pt idx="3">
                  <c:v>17.399999999999999</c:v>
                </c:pt>
                <c:pt idx="4">
                  <c:v>30.8</c:v>
                </c:pt>
                <c:pt idx="5">
                  <c:v>26.7</c:v>
                </c:pt>
                <c:pt idx="6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3AAE-4FC4-9B28-C18C4FA7C0B5}"/>
            </c:ext>
          </c:extLst>
        </c:ser>
        <c:ser>
          <c:idx val="1"/>
          <c:order val="1"/>
          <c:tx>
            <c:v>Practice Midrange %</c:v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Sheet1!$K$3:$K$9</c:f>
              <c:numCache>
                <c:formatCode>General</c:formatCode>
                <c:ptCount val="7"/>
                <c:pt idx="0">
                  <c:v>10</c:v>
                </c:pt>
                <c:pt idx="1">
                  <c:v>11</c:v>
                </c:pt>
                <c:pt idx="2">
                  <c:v>12</c:v>
                </c:pt>
                <c:pt idx="3">
                  <c:v>13</c:v>
                </c:pt>
                <c:pt idx="4">
                  <c:v>14</c:v>
                </c:pt>
                <c:pt idx="5">
                  <c:v>15</c:v>
                </c:pt>
                <c:pt idx="6">
                  <c:v>16</c:v>
                </c:pt>
              </c:numCache>
            </c:numRef>
          </c:cat>
          <c:val>
            <c:numRef>
              <c:f>Sheet1!$H$3:$H$9</c:f>
              <c:numCache>
                <c:formatCode>General</c:formatCode>
                <c:ptCount val="7"/>
                <c:pt idx="0">
                  <c:v>44.4</c:v>
                </c:pt>
                <c:pt idx="1">
                  <c:v>54.5</c:v>
                </c:pt>
                <c:pt idx="2">
                  <c:v>57.1</c:v>
                </c:pt>
                <c:pt idx="3">
                  <c:v>25</c:v>
                </c:pt>
                <c:pt idx="4">
                  <c:v>54.5</c:v>
                </c:pt>
                <c:pt idx="5">
                  <c:v>55.6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3AAE-4FC4-9B28-C18C4FA7C0B5}"/>
            </c:ext>
          </c:extLst>
        </c:ser>
        <c:dLbls>
          <c:dLblPos val="t"/>
          <c:showLegendKey val="0"/>
          <c:showVal val="1"/>
          <c:showCatName val="0"/>
          <c:showSerName val="0"/>
          <c:showPercent val="0"/>
          <c:showBubbleSize val="0"/>
        </c:dLbls>
        <c:marker val="1"/>
        <c:smooth val="0"/>
        <c:axId val="1930072783"/>
        <c:axId val="1677679951"/>
      </c:lineChart>
      <c:catAx>
        <c:axId val="1930072783"/>
        <c:scaling>
          <c:orientation val="minMax"/>
        </c:scaling>
        <c:delete val="0"/>
        <c:axPos val="b"/>
        <c:title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77679951"/>
        <c:crosses val="autoZero"/>
        <c:auto val="1"/>
        <c:lblAlgn val="ctr"/>
        <c:lblOffset val="100"/>
        <c:noMultiLvlLbl val="0"/>
      </c:catAx>
      <c:valAx>
        <c:axId val="167767995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30072783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Aroun</a:t>
            </a:r>
            <a:r>
              <a:rPr lang="en-US" baseline="0"/>
              <a:t>d the Rim</a:t>
            </a:r>
            <a:r>
              <a:rPr lang="en-US"/>
              <a:t> % by</a:t>
            </a:r>
            <a:r>
              <a:rPr lang="en-US" baseline="0"/>
              <a:t> Week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v>Game Rim %</c:v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Sheet1!$K$3:$K$9</c:f>
              <c:numCache>
                <c:formatCode>General</c:formatCode>
                <c:ptCount val="7"/>
                <c:pt idx="0">
                  <c:v>10</c:v>
                </c:pt>
                <c:pt idx="1">
                  <c:v>11</c:v>
                </c:pt>
                <c:pt idx="2">
                  <c:v>12</c:v>
                </c:pt>
                <c:pt idx="3">
                  <c:v>13</c:v>
                </c:pt>
                <c:pt idx="4">
                  <c:v>14</c:v>
                </c:pt>
                <c:pt idx="5">
                  <c:v>15</c:v>
                </c:pt>
                <c:pt idx="6">
                  <c:v>16</c:v>
                </c:pt>
              </c:numCache>
            </c:numRef>
          </c:cat>
          <c:val>
            <c:numRef>
              <c:f>Sheet1!$C$3:$C$9</c:f>
              <c:numCache>
                <c:formatCode>General</c:formatCode>
                <c:ptCount val="7"/>
                <c:pt idx="0">
                  <c:v>15.4</c:v>
                </c:pt>
                <c:pt idx="1">
                  <c:v>62.7</c:v>
                </c:pt>
                <c:pt idx="2">
                  <c:v>64.900000000000006</c:v>
                </c:pt>
                <c:pt idx="3">
                  <c:v>45.9</c:v>
                </c:pt>
                <c:pt idx="4">
                  <c:v>53.8</c:v>
                </c:pt>
                <c:pt idx="5">
                  <c:v>56.8</c:v>
                </c:pt>
                <c:pt idx="6">
                  <c:v>67.5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51D2-47A1-8749-67036B136D35}"/>
            </c:ext>
          </c:extLst>
        </c:ser>
        <c:ser>
          <c:idx val="1"/>
          <c:order val="1"/>
          <c:tx>
            <c:v>Practice Rim %</c:v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Sheet1!$K$3:$K$9</c:f>
              <c:numCache>
                <c:formatCode>General</c:formatCode>
                <c:ptCount val="7"/>
                <c:pt idx="0">
                  <c:v>10</c:v>
                </c:pt>
                <c:pt idx="1">
                  <c:v>11</c:v>
                </c:pt>
                <c:pt idx="2">
                  <c:v>12</c:v>
                </c:pt>
                <c:pt idx="3">
                  <c:v>13</c:v>
                </c:pt>
                <c:pt idx="4">
                  <c:v>14</c:v>
                </c:pt>
                <c:pt idx="5">
                  <c:v>15</c:v>
                </c:pt>
                <c:pt idx="6">
                  <c:v>16</c:v>
                </c:pt>
              </c:numCache>
            </c:numRef>
          </c:cat>
          <c:val>
            <c:numRef>
              <c:f>Sheet1!$D$3:$D$9</c:f>
              <c:numCache>
                <c:formatCode>General</c:formatCode>
                <c:ptCount val="7"/>
                <c:pt idx="0">
                  <c:v>66.7</c:v>
                </c:pt>
                <c:pt idx="1">
                  <c:v>49.2</c:v>
                </c:pt>
                <c:pt idx="2">
                  <c:v>60</c:v>
                </c:pt>
                <c:pt idx="3">
                  <c:v>76.900000000000006</c:v>
                </c:pt>
                <c:pt idx="4">
                  <c:v>56.5</c:v>
                </c:pt>
                <c:pt idx="5">
                  <c:v>60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51D2-47A1-8749-67036B136D35}"/>
            </c:ext>
          </c:extLst>
        </c:ser>
        <c:dLbls>
          <c:dLblPos val="t"/>
          <c:showLegendKey val="0"/>
          <c:showVal val="1"/>
          <c:showCatName val="0"/>
          <c:showSerName val="0"/>
          <c:showPercent val="0"/>
          <c:showBubbleSize val="0"/>
        </c:dLbls>
        <c:marker val="1"/>
        <c:smooth val="0"/>
        <c:axId val="1930072783"/>
        <c:axId val="1677679951"/>
      </c:lineChart>
      <c:catAx>
        <c:axId val="1930072783"/>
        <c:scaling>
          <c:orientation val="minMax"/>
        </c:scaling>
        <c:delete val="0"/>
        <c:axPos val="b"/>
        <c:title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77679951"/>
        <c:crosses val="autoZero"/>
        <c:auto val="1"/>
        <c:lblAlgn val="ctr"/>
        <c:lblOffset val="100"/>
        <c:noMultiLvlLbl val="0"/>
      </c:catAx>
      <c:valAx>
        <c:axId val="1677679951"/>
        <c:scaling>
          <c:orientation val="minMax"/>
          <c:max val="80"/>
          <c:min val="1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30072783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AST/TO</a:t>
            </a:r>
            <a:r>
              <a:rPr lang="en-US" baseline="0"/>
              <a:t> Ratio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Sheet1!$Q$2</c:f>
              <c:strCache>
                <c:ptCount val="1"/>
                <c:pt idx="0">
                  <c:v>AST/TO Game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val>
            <c:numRef>
              <c:f>Sheet1!$Q$3:$Q$9</c:f>
              <c:numCache>
                <c:formatCode>0.00</c:formatCode>
                <c:ptCount val="7"/>
                <c:pt idx="0">
                  <c:v>1.71</c:v>
                </c:pt>
                <c:pt idx="1">
                  <c:v>1.03</c:v>
                </c:pt>
                <c:pt idx="2">
                  <c:v>1.1200000000000001</c:v>
                </c:pt>
                <c:pt idx="3">
                  <c:v>0.68</c:v>
                </c:pt>
                <c:pt idx="4">
                  <c:v>0.72</c:v>
                </c:pt>
                <c:pt idx="5">
                  <c:v>0.65</c:v>
                </c:pt>
                <c:pt idx="6">
                  <c:v>1.1499999999999999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DE8F-4311-B4A2-21D5CBD1B77E}"/>
            </c:ext>
          </c:extLst>
        </c:ser>
        <c:ser>
          <c:idx val="1"/>
          <c:order val="1"/>
          <c:tx>
            <c:strRef>
              <c:f>Sheet1!$R$2</c:f>
              <c:strCache>
                <c:ptCount val="1"/>
                <c:pt idx="0">
                  <c:v>AST/TO Practice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val>
            <c:numRef>
              <c:f>Sheet1!$R$3:$R$9</c:f>
              <c:numCache>
                <c:formatCode>0.00</c:formatCode>
                <c:ptCount val="7"/>
                <c:pt idx="0">
                  <c:v>1.1499999999999999</c:v>
                </c:pt>
                <c:pt idx="1">
                  <c:v>1.19</c:v>
                </c:pt>
                <c:pt idx="2">
                  <c:v>0.88</c:v>
                </c:pt>
                <c:pt idx="3">
                  <c:v>0.53</c:v>
                </c:pt>
                <c:pt idx="4">
                  <c:v>0.79</c:v>
                </c:pt>
                <c:pt idx="5">
                  <c:v>0.69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DE8F-4311-B4A2-21D5CBD1B77E}"/>
            </c:ext>
          </c:extLst>
        </c:ser>
        <c:dLbls>
          <c:dLblPos val="t"/>
          <c:showLegendKey val="0"/>
          <c:showVal val="1"/>
          <c:showCatName val="0"/>
          <c:showSerName val="0"/>
          <c:showPercent val="0"/>
          <c:showBubbleSize val="0"/>
        </c:dLbls>
        <c:marker val="1"/>
        <c:smooth val="0"/>
        <c:axId val="1288324975"/>
        <c:axId val="1288325455"/>
      </c:lineChart>
      <c:catAx>
        <c:axId val="1288324975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88325455"/>
        <c:crosses val="autoZero"/>
        <c:auto val="1"/>
        <c:lblAlgn val="ctr"/>
        <c:lblOffset val="100"/>
        <c:noMultiLvlLbl val="0"/>
      </c:catAx>
      <c:valAx>
        <c:axId val="128832545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88324975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4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19989</xdr:colOff>
      <xdr:row>10</xdr:row>
      <xdr:rowOff>169916</xdr:rowOff>
    </xdr:from>
    <xdr:to>
      <xdr:col>12</xdr:col>
      <xdr:colOff>563880</xdr:colOff>
      <xdr:row>37</xdr:row>
      <xdr:rowOff>45720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5946C37C-3DBC-3588-FBBA-D55109CEBD7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3</xdr:col>
      <xdr:colOff>8312</xdr:colOff>
      <xdr:row>11</xdr:row>
      <xdr:rowOff>31174</xdr:rowOff>
    </xdr:from>
    <xdr:to>
      <xdr:col>14</xdr:col>
      <xdr:colOff>373379</xdr:colOff>
      <xdr:row>37</xdr:row>
      <xdr:rowOff>129540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A428EF68-8B29-4661-847E-633876797475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0</xdr:col>
      <xdr:colOff>187135</xdr:colOff>
      <xdr:row>10</xdr:row>
      <xdr:rowOff>153092</xdr:rowOff>
    </xdr:from>
    <xdr:to>
      <xdr:col>11</xdr:col>
      <xdr:colOff>114300</xdr:colOff>
      <xdr:row>37</xdr:row>
      <xdr:rowOff>15240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FA52E4DA-635B-48C2-8EE1-3311AFFE483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9</xdr:col>
      <xdr:colOff>91440</xdr:colOff>
      <xdr:row>6</xdr:row>
      <xdr:rowOff>179070</xdr:rowOff>
    </xdr:from>
    <xdr:to>
      <xdr:col>16</xdr:col>
      <xdr:colOff>350520</xdr:colOff>
      <xdr:row>21</xdr:row>
      <xdr:rowOff>179070</xdr:rowOff>
    </xdr:to>
    <xdr:graphicFrame macro="">
      <xdr:nvGraphicFramePr>
        <xdr:cNvPr id="7" name="Chart 6">
          <a:extLst>
            <a:ext uri="{FF2B5EF4-FFF2-40B4-BE49-F238E27FC236}">
              <a16:creationId xmlns:a16="http://schemas.microsoft.com/office/drawing/2014/main" id="{0655F040-3544-1CCB-1282-07ACDDA6ECD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B605777-2051-4CEF-8694-4C5426D16D7E}">
  <dimension ref="B1:R9"/>
  <sheetViews>
    <sheetView zoomScaleNormal="100" workbookViewId="0">
      <selection activeCell="T12" sqref="T12"/>
    </sheetView>
  </sheetViews>
  <sheetFormatPr defaultRowHeight="14.4" x14ac:dyDescent="0.3"/>
  <cols>
    <col min="3" max="3" width="10.109375" bestFit="1" customWidth="1"/>
    <col min="4" max="4" width="12" bestFit="1" customWidth="1"/>
    <col min="12" max="13" width="9.21875" bestFit="1" customWidth="1"/>
  </cols>
  <sheetData>
    <row r="1" spans="2:18" x14ac:dyDescent="0.3">
      <c r="C1" t="s">
        <v>3</v>
      </c>
      <c r="G1" t="s">
        <v>4</v>
      </c>
      <c r="L1" t="s">
        <v>5</v>
      </c>
      <c r="Q1" t="s">
        <v>8</v>
      </c>
    </row>
    <row r="2" spans="2:18" x14ac:dyDescent="0.3">
      <c r="B2" t="s">
        <v>0</v>
      </c>
      <c r="C2" t="s">
        <v>1</v>
      </c>
      <c r="D2" t="s">
        <v>2</v>
      </c>
      <c r="F2" t="s">
        <v>0</v>
      </c>
      <c r="G2" t="s">
        <v>1</v>
      </c>
      <c r="H2" t="s">
        <v>2</v>
      </c>
      <c r="K2" t="s">
        <v>0</v>
      </c>
      <c r="L2" t="s">
        <v>1</v>
      </c>
      <c r="M2" t="s">
        <v>2</v>
      </c>
      <c r="P2" t="s">
        <v>0</v>
      </c>
      <c r="Q2" t="s">
        <v>6</v>
      </c>
      <c r="R2" t="s">
        <v>7</v>
      </c>
    </row>
    <row r="3" spans="2:18" x14ac:dyDescent="0.3">
      <c r="B3">
        <v>10</v>
      </c>
      <c r="C3">
        <v>15.4</v>
      </c>
      <c r="D3">
        <v>66.7</v>
      </c>
      <c r="F3">
        <v>10</v>
      </c>
      <c r="G3">
        <v>0</v>
      </c>
      <c r="H3">
        <v>44.4</v>
      </c>
      <c r="K3">
        <v>10</v>
      </c>
      <c r="L3" s="2">
        <v>0.35499999999999998</v>
      </c>
      <c r="M3" s="2">
        <v>0.27100000000000002</v>
      </c>
      <c r="P3">
        <v>10</v>
      </c>
      <c r="Q3" s="3">
        <v>1.71</v>
      </c>
      <c r="R3" s="3">
        <v>1.1499999999999999</v>
      </c>
    </row>
    <row r="4" spans="2:18" x14ac:dyDescent="0.3">
      <c r="B4">
        <v>11</v>
      </c>
      <c r="C4">
        <v>62.7</v>
      </c>
      <c r="D4">
        <v>49.2</v>
      </c>
      <c r="F4">
        <v>11</v>
      </c>
      <c r="G4">
        <v>45.5</v>
      </c>
      <c r="H4">
        <v>54.5</v>
      </c>
      <c r="K4">
        <v>11</v>
      </c>
      <c r="L4" s="2">
        <v>0.246</v>
      </c>
      <c r="M4" s="2">
        <v>0.314</v>
      </c>
      <c r="P4">
        <v>11</v>
      </c>
      <c r="Q4" s="3">
        <v>1.03</v>
      </c>
      <c r="R4" s="3">
        <v>1.19</v>
      </c>
    </row>
    <row r="5" spans="2:18" x14ac:dyDescent="0.3">
      <c r="B5">
        <v>12</v>
      </c>
      <c r="C5">
        <v>64.900000000000006</v>
      </c>
      <c r="D5">
        <v>60</v>
      </c>
      <c r="F5">
        <v>12</v>
      </c>
      <c r="G5">
        <v>28.6</v>
      </c>
      <c r="H5">
        <v>57.1</v>
      </c>
      <c r="K5">
        <v>12</v>
      </c>
      <c r="L5" s="2">
        <v>0.22700000000000001</v>
      </c>
      <c r="M5" s="2">
        <v>0.33300000000000002</v>
      </c>
      <c r="P5">
        <v>12</v>
      </c>
      <c r="Q5" s="3">
        <v>1.1200000000000001</v>
      </c>
      <c r="R5" s="3">
        <v>0.88</v>
      </c>
    </row>
    <row r="6" spans="2:18" x14ac:dyDescent="0.3">
      <c r="B6">
        <v>13</v>
      </c>
      <c r="C6">
        <v>45.9</v>
      </c>
      <c r="D6">
        <v>76.900000000000006</v>
      </c>
      <c r="F6">
        <v>13</v>
      </c>
      <c r="G6">
        <v>17.399999999999999</v>
      </c>
      <c r="H6">
        <v>25</v>
      </c>
      <c r="K6">
        <v>13</v>
      </c>
      <c r="L6" s="2">
        <v>0.30199999999999999</v>
      </c>
      <c r="M6" s="2">
        <v>0.44</v>
      </c>
      <c r="P6">
        <v>13</v>
      </c>
      <c r="Q6" s="3">
        <v>0.68</v>
      </c>
      <c r="R6" s="3">
        <v>0.53</v>
      </c>
    </row>
    <row r="7" spans="2:18" x14ac:dyDescent="0.3">
      <c r="B7">
        <v>14</v>
      </c>
      <c r="C7">
        <v>53.8</v>
      </c>
      <c r="D7">
        <v>56.5</v>
      </c>
      <c r="F7">
        <v>14</v>
      </c>
      <c r="G7">
        <v>30.8</v>
      </c>
      <c r="H7">
        <v>54.5</v>
      </c>
      <c r="K7">
        <v>14</v>
      </c>
      <c r="L7" s="2">
        <v>0.215</v>
      </c>
      <c r="M7" s="2">
        <v>0.26200000000000001</v>
      </c>
      <c r="P7">
        <v>14</v>
      </c>
      <c r="Q7" s="3">
        <v>0.72</v>
      </c>
      <c r="R7" s="3">
        <v>0.79</v>
      </c>
    </row>
    <row r="8" spans="2:18" x14ac:dyDescent="0.3">
      <c r="B8">
        <v>15</v>
      </c>
      <c r="C8">
        <v>56.8</v>
      </c>
      <c r="D8">
        <v>60</v>
      </c>
      <c r="F8">
        <v>15</v>
      </c>
      <c r="G8">
        <v>26.7</v>
      </c>
      <c r="H8">
        <v>55.6</v>
      </c>
      <c r="K8">
        <v>15</v>
      </c>
      <c r="L8" s="2">
        <v>0.28599999999999998</v>
      </c>
      <c r="M8" s="2">
        <v>0.20699999999999999</v>
      </c>
      <c r="P8">
        <v>15</v>
      </c>
      <c r="Q8" s="3">
        <v>0.65</v>
      </c>
      <c r="R8" s="3">
        <v>0.69</v>
      </c>
    </row>
    <row r="9" spans="2:18" x14ac:dyDescent="0.3">
      <c r="B9">
        <v>16</v>
      </c>
      <c r="C9">
        <v>67.5</v>
      </c>
      <c r="F9">
        <v>16</v>
      </c>
      <c r="G9">
        <v>0</v>
      </c>
      <c r="K9">
        <v>16</v>
      </c>
      <c r="L9" s="2">
        <v>0.35</v>
      </c>
      <c r="M9" s="1"/>
      <c r="P9">
        <v>16</v>
      </c>
      <c r="Q9" s="3">
        <v>1.1499999999999999</v>
      </c>
      <c r="R9" s="3"/>
    </row>
  </sheetData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203F62F-36BC-456D-8CBF-CB491AA5D690}">
  <dimension ref="A1:W14"/>
  <sheetViews>
    <sheetView tabSelected="1" workbookViewId="0">
      <selection activeCell="S13" sqref="S13"/>
    </sheetView>
  </sheetViews>
  <sheetFormatPr defaultRowHeight="14.4" x14ac:dyDescent="0.3"/>
  <cols>
    <col min="11" max="11" width="10.5546875" bestFit="1" customWidth="1"/>
  </cols>
  <sheetData>
    <row r="1" spans="1:23" x14ac:dyDescent="0.3">
      <c r="B1" t="s">
        <v>9</v>
      </c>
      <c r="C1" t="s">
        <v>10</v>
      </c>
      <c r="D1" t="s">
        <v>11</v>
      </c>
      <c r="E1" t="s">
        <v>12</v>
      </c>
      <c r="F1" t="s">
        <v>13</v>
      </c>
      <c r="G1" t="s">
        <v>14</v>
      </c>
      <c r="H1" t="s">
        <v>15</v>
      </c>
      <c r="I1" t="s">
        <v>16</v>
      </c>
      <c r="J1" t="s">
        <v>17</v>
      </c>
      <c r="K1" t="s">
        <v>28</v>
      </c>
      <c r="L1" s="4"/>
      <c r="M1" t="s">
        <v>18</v>
      </c>
      <c r="N1" t="s">
        <v>19</v>
      </c>
      <c r="O1" t="s">
        <v>20</v>
      </c>
      <c r="P1" t="s">
        <v>21</v>
      </c>
      <c r="Q1" t="s">
        <v>22</v>
      </c>
      <c r="R1" t="s">
        <v>23</v>
      </c>
      <c r="S1" t="s">
        <v>24</v>
      </c>
      <c r="T1" t="s">
        <v>25</v>
      </c>
      <c r="U1" t="s">
        <v>26</v>
      </c>
      <c r="V1" t="s">
        <v>27</v>
      </c>
    </row>
    <row r="2" spans="1:23" x14ac:dyDescent="0.3">
      <c r="A2" t="s">
        <v>29</v>
      </c>
      <c r="B2">
        <v>17</v>
      </c>
      <c r="C2">
        <v>19</v>
      </c>
      <c r="D2">
        <v>14</v>
      </c>
      <c r="E2">
        <v>13</v>
      </c>
      <c r="F2">
        <v>17</v>
      </c>
      <c r="G2">
        <v>15</v>
      </c>
      <c r="H2">
        <v>16</v>
      </c>
      <c r="I2">
        <v>16</v>
      </c>
      <c r="J2">
        <v>9</v>
      </c>
      <c r="K2" s="5">
        <f>AVERAGE(B2:J2)</f>
        <v>15.111111111111111</v>
      </c>
      <c r="L2" s="4"/>
      <c r="M2">
        <v>12</v>
      </c>
      <c r="N2">
        <v>10</v>
      </c>
      <c r="O2">
        <v>6</v>
      </c>
      <c r="P2">
        <v>14</v>
      </c>
      <c r="Q2">
        <v>10</v>
      </c>
      <c r="R2">
        <v>12</v>
      </c>
      <c r="S2">
        <v>12</v>
      </c>
      <c r="T2">
        <v>14</v>
      </c>
      <c r="U2">
        <v>4</v>
      </c>
      <c r="V2">
        <v>12</v>
      </c>
      <c r="W2">
        <f>AVERAGE(M2:V2)</f>
        <v>10.6</v>
      </c>
    </row>
    <row r="3" spans="1:23" x14ac:dyDescent="0.3">
      <c r="A3" t="s">
        <v>32</v>
      </c>
      <c r="B3">
        <v>17</v>
      </c>
      <c r="C3">
        <v>18</v>
      </c>
      <c r="D3">
        <v>15</v>
      </c>
      <c r="E3">
        <v>9</v>
      </c>
      <c r="F3">
        <v>16</v>
      </c>
      <c r="G3">
        <v>14</v>
      </c>
      <c r="H3">
        <v>13</v>
      </c>
      <c r="I3">
        <v>20</v>
      </c>
      <c r="J3">
        <v>20</v>
      </c>
      <c r="K3" s="5">
        <f t="shared" ref="K3:K11" si="0">AVERAGE(B3:J3)</f>
        <v>15.777777777777779</v>
      </c>
      <c r="L3" s="4"/>
      <c r="M3">
        <v>7</v>
      </c>
      <c r="N3">
        <v>19</v>
      </c>
      <c r="O3">
        <v>7</v>
      </c>
      <c r="P3">
        <v>18</v>
      </c>
      <c r="Q3">
        <v>13</v>
      </c>
      <c r="R3">
        <v>22</v>
      </c>
      <c r="S3">
        <v>12</v>
      </c>
      <c r="T3">
        <v>20</v>
      </c>
      <c r="U3">
        <v>18</v>
      </c>
      <c r="V3">
        <v>17</v>
      </c>
      <c r="W3">
        <f t="shared" ref="W3:W11" si="1">AVERAGE(M3:V3)</f>
        <v>15.3</v>
      </c>
    </row>
    <row r="4" spans="1:23" x14ac:dyDescent="0.3">
      <c r="A4" t="s">
        <v>30</v>
      </c>
      <c r="B4">
        <v>18</v>
      </c>
      <c r="C4">
        <v>16</v>
      </c>
      <c r="D4">
        <v>23</v>
      </c>
      <c r="E4">
        <v>12</v>
      </c>
      <c r="F4">
        <v>10</v>
      </c>
      <c r="G4">
        <v>5</v>
      </c>
      <c r="H4">
        <v>8</v>
      </c>
      <c r="I4">
        <v>10</v>
      </c>
      <c r="J4">
        <v>13</v>
      </c>
      <c r="K4" s="5">
        <f t="shared" si="0"/>
        <v>12.777777777777779</v>
      </c>
      <c r="L4" s="4"/>
      <c r="M4">
        <v>10</v>
      </c>
      <c r="N4">
        <v>12</v>
      </c>
      <c r="O4">
        <v>10</v>
      </c>
      <c r="P4">
        <v>4</v>
      </c>
      <c r="Q4">
        <v>7</v>
      </c>
      <c r="R4">
        <v>8</v>
      </c>
      <c r="S4">
        <v>11</v>
      </c>
      <c r="T4">
        <v>11</v>
      </c>
      <c r="U4">
        <v>14</v>
      </c>
      <c r="V4">
        <v>13</v>
      </c>
      <c r="W4">
        <f t="shared" si="1"/>
        <v>10</v>
      </c>
    </row>
    <row r="5" spans="1:23" x14ac:dyDescent="0.3">
      <c r="A5" t="s">
        <v>31</v>
      </c>
      <c r="B5">
        <v>26</v>
      </c>
      <c r="C5">
        <v>30</v>
      </c>
      <c r="D5">
        <v>17</v>
      </c>
      <c r="E5">
        <v>18</v>
      </c>
      <c r="F5">
        <v>19</v>
      </c>
      <c r="G5">
        <v>19</v>
      </c>
      <c r="H5">
        <v>21</v>
      </c>
      <c r="I5">
        <v>26</v>
      </c>
      <c r="J5">
        <v>27</v>
      </c>
      <c r="K5" s="5">
        <f t="shared" si="0"/>
        <v>22.555555555555557</v>
      </c>
      <c r="L5" s="4"/>
      <c r="M5">
        <v>11</v>
      </c>
      <c r="N5">
        <v>15</v>
      </c>
      <c r="O5">
        <v>17</v>
      </c>
      <c r="P5">
        <v>23</v>
      </c>
      <c r="Q5">
        <v>15</v>
      </c>
      <c r="R5">
        <v>23</v>
      </c>
      <c r="S5">
        <v>18</v>
      </c>
      <c r="T5">
        <v>20</v>
      </c>
      <c r="U5">
        <v>16</v>
      </c>
      <c r="V5">
        <v>14</v>
      </c>
      <c r="W5">
        <f t="shared" si="1"/>
        <v>17.2</v>
      </c>
    </row>
    <row r="6" spans="1:23" x14ac:dyDescent="0.3">
      <c r="A6" t="s">
        <v>33</v>
      </c>
      <c r="B6">
        <v>0.41399999999999998</v>
      </c>
      <c r="C6">
        <v>0.443</v>
      </c>
      <c r="D6">
        <v>0.34399999999999997</v>
      </c>
      <c r="E6">
        <v>0.55300000000000005</v>
      </c>
      <c r="F6">
        <v>0.65100000000000002</v>
      </c>
      <c r="G6">
        <v>0.52600000000000002</v>
      </c>
      <c r="H6">
        <v>0.46600000000000003</v>
      </c>
      <c r="I6">
        <v>0.59499999999999997</v>
      </c>
      <c r="J6">
        <v>0.5</v>
      </c>
      <c r="K6" s="5">
        <f t="shared" si="0"/>
        <v>0.49911111111111112</v>
      </c>
      <c r="L6" s="4"/>
      <c r="M6">
        <v>0.26</v>
      </c>
      <c r="N6">
        <v>0.42</v>
      </c>
      <c r="O6">
        <v>0.30199999999999999</v>
      </c>
      <c r="P6">
        <v>0.42599999999999999</v>
      </c>
      <c r="Q6">
        <v>0.32100000000000001</v>
      </c>
      <c r="R6">
        <v>0.39300000000000002</v>
      </c>
      <c r="S6">
        <v>0.35499999999999998</v>
      </c>
      <c r="T6">
        <v>0.41799999999999998</v>
      </c>
      <c r="U6">
        <v>0.23400000000000001</v>
      </c>
      <c r="V6">
        <v>0.35799999999999998</v>
      </c>
      <c r="W6">
        <f t="shared" si="1"/>
        <v>0.34870000000000001</v>
      </c>
    </row>
    <row r="7" spans="1:23" x14ac:dyDescent="0.3">
      <c r="A7" t="s">
        <v>34</v>
      </c>
      <c r="B7">
        <v>0.20699999999999999</v>
      </c>
      <c r="C7">
        <v>0.28599999999999998</v>
      </c>
      <c r="D7">
        <v>0.20699999999999999</v>
      </c>
      <c r="E7">
        <v>0.26700000000000002</v>
      </c>
      <c r="F7">
        <v>0.6</v>
      </c>
      <c r="G7">
        <v>0.33300000000000002</v>
      </c>
      <c r="H7">
        <v>0.36</v>
      </c>
      <c r="I7">
        <v>0.45</v>
      </c>
      <c r="J7">
        <v>0.33300000000000002</v>
      </c>
      <c r="K7" s="5">
        <f t="shared" si="0"/>
        <v>0.33811111111111114</v>
      </c>
      <c r="L7" s="4"/>
      <c r="M7">
        <v>0.35499999999999998</v>
      </c>
      <c r="N7">
        <v>0.36399999999999999</v>
      </c>
      <c r="O7">
        <v>0.17399999999999999</v>
      </c>
      <c r="P7">
        <v>0.38900000000000001</v>
      </c>
      <c r="Q7">
        <v>0.115</v>
      </c>
      <c r="R7">
        <v>0.222</v>
      </c>
      <c r="S7">
        <v>0.308</v>
      </c>
      <c r="T7">
        <v>0.14299999999999999</v>
      </c>
      <c r="U7">
        <v>0.2</v>
      </c>
      <c r="V7">
        <v>0.25800000000000001</v>
      </c>
      <c r="W7">
        <f t="shared" si="1"/>
        <v>0.25280000000000002</v>
      </c>
    </row>
    <row r="8" spans="1:23" x14ac:dyDescent="0.3">
      <c r="A8" t="s">
        <v>38</v>
      </c>
      <c r="B8">
        <v>6</v>
      </c>
      <c r="C8">
        <v>8</v>
      </c>
      <c r="D8">
        <v>6</v>
      </c>
      <c r="E8">
        <v>4</v>
      </c>
      <c r="F8">
        <v>9</v>
      </c>
      <c r="G8">
        <v>5</v>
      </c>
      <c r="H8">
        <v>9</v>
      </c>
      <c r="I8">
        <v>9</v>
      </c>
      <c r="J8">
        <v>5</v>
      </c>
      <c r="K8" s="5">
        <f t="shared" si="0"/>
        <v>6.7777777777777777</v>
      </c>
      <c r="L8" s="4"/>
      <c r="M8">
        <v>11</v>
      </c>
      <c r="N8">
        <v>8</v>
      </c>
      <c r="O8">
        <v>4</v>
      </c>
      <c r="P8">
        <v>7</v>
      </c>
      <c r="Q8">
        <v>3</v>
      </c>
      <c r="R8">
        <v>6</v>
      </c>
      <c r="S8">
        <v>8</v>
      </c>
      <c r="T8">
        <v>3</v>
      </c>
      <c r="U8">
        <v>4</v>
      </c>
      <c r="V8">
        <v>8</v>
      </c>
      <c r="W8">
        <f t="shared" si="1"/>
        <v>6.2</v>
      </c>
    </row>
    <row r="9" spans="1:23" x14ac:dyDescent="0.3">
      <c r="A9" t="s">
        <v>35</v>
      </c>
      <c r="B9">
        <v>44</v>
      </c>
      <c r="C9">
        <v>62</v>
      </c>
      <c r="D9">
        <v>77</v>
      </c>
      <c r="E9">
        <v>56</v>
      </c>
      <c r="F9">
        <v>72</v>
      </c>
      <c r="G9">
        <v>38</v>
      </c>
      <c r="H9">
        <v>42</v>
      </c>
      <c r="I9">
        <v>61</v>
      </c>
      <c r="J9">
        <v>51</v>
      </c>
      <c r="K9" s="5">
        <f t="shared" si="0"/>
        <v>55.888888888888886</v>
      </c>
      <c r="L9" s="4"/>
      <c r="M9">
        <v>33</v>
      </c>
      <c r="N9">
        <v>47</v>
      </c>
      <c r="O9">
        <v>53</v>
      </c>
      <c r="P9">
        <v>39</v>
      </c>
      <c r="Q9">
        <v>59</v>
      </c>
      <c r="R9">
        <v>68</v>
      </c>
      <c r="S9">
        <v>59</v>
      </c>
      <c r="T9">
        <v>54</v>
      </c>
      <c r="U9">
        <v>35</v>
      </c>
      <c r="V9">
        <v>68</v>
      </c>
      <c r="W9">
        <f t="shared" si="1"/>
        <v>51.5</v>
      </c>
    </row>
    <row r="10" spans="1:23" x14ac:dyDescent="0.3">
      <c r="A10" t="s">
        <v>36</v>
      </c>
      <c r="B10">
        <v>13</v>
      </c>
      <c r="C10">
        <v>21</v>
      </c>
      <c r="D10">
        <v>23</v>
      </c>
      <c r="E10">
        <v>22</v>
      </c>
      <c r="F10">
        <v>41</v>
      </c>
      <c r="G10">
        <v>16</v>
      </c>
      <c r="H10">
        <v>17</v>
      </c>
      <c r="I10">
        <v>29</v>
      </c>
      <c r="J10">
        <v>16</v>
      </c>
      <c r="K10" s="5">
        <f t="shared" si="0"/>
        <v>22</v>
      </c>
      <c r="L10" s="4"/>
      <c r="M10">
        <v>11</v>
      </c>
      <c r="N10">
        <v>20</v>
      </c>
      <c r="O10">
        <v>15</v>
      </c>
      <c r="P10">
        <v>15</v>
      </c>
      <c r="Q10">
        <v>26</v>
      </c>
      <c r="R10">
        <v>23</v>
      </c>
      <c r="S10">
        <v>22</v>
      </c>
      <c r="T10">
        <v>19</v>
      </c>
      <c r="U10">
        <v>8</v>
      </c>
      <c r="V10">
        <v>19</v>
      </c>
      <c r="W10">
        <f t="shared" si="1"/>
        <v>17.8</v>
      </c>
    </row>
    <row r="11" spans="1:23" x14ac:dyDescent="0.3">
      <c r="A11" t="s">
        <v>37</v>
      </c>
      <c r="B11">
        <v>0</v>
      </c>
      <c r="C11">
        <v>1</v>
      </c>
      <c r="D11">
        <v>11</v>
      </c>
      <c r="E11">
        <v>1</v>
      </c>
      <c r="F11">
        <v>13</v>
      </c>
      <c r="G11">
        <v>2</v>
      </c>
      <c r="H11">
        <v>3</v>
      </c>
      <c r="I11">
        <v>6</v>
      </c>
      <c r="J11">
        <v>7</v>
      </c>
      <c r="K11" s="5">
        <f t="shared" si="0"/>
        <v>4.8888888888888893</v>
      </c>
      <c r="L11" s="4"/>
      <c r="M11">
        <v>0</v>
      </c>
      <c r="N11">
        <v>0</v>
      </c>
      <c r="O11">
        <v>7</v>
      </c>
      <c r="P11">
        <v>2</v>
      </c>
      <c r="Q11">
        <v>5</v>
      </c>
      <c r="R11">
        <v>9</v>
      </c>
      <c r="S11">
        <v>8</v>
      </c>
      <c r="T11">
        <v>8</v>
      </c>
      <c r="U11">
        <v>8</v>
      </c>
      <c r="V11">
        <v>6</v>
      </c>
      <c r="W11">
        <f t="shared" si="1"/>
        <v>5.3</v>
      </c>
    </row>
    <row r="12" spans="1:23" x14ac:dyDescent="0.3">
      <c r="L12" s="4"/>
    </row>
    <row r="13" spans="1:23" x14ac:dyDescent="0.3">
      <c r="L13" s="4"/>
    </row>
    <row r="14" spans="1:23" x14ac:dyDescent="0.3">
      <c r="L14" s="4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Andrew Purvis</dc:creator>
  <cp:lastModifiedBy>Andrew Purvis</cp:lastModifiedBy>
  <dcterms:created xsi:type="dcterms:W3CDTF">2025-12-26T23:01:54Z</dcterms:created>
  <dcterms:modified xsi:type="dcterms:W3CDTF">2026-01-01T15:54:21Z</dcterms:modified>
</cp:coreProperties>
</file>